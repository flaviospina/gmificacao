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enchmark" sheetId="2" state="visible" r:id="rId2"/>
    <sheet name="Balões de Cobrança" sheetId="3" state="visible" r:id="rId3"/>
    <sheet name="Modelo A — Por Aluno" sheetId="4" state="visible" r:id="rId4"/>
    <sheet name="Modelo B — Pacote" sheetId="5" state="visible" r:id="rId5"/>
    <sheet name="Por Aluno x Pacote" sheetId="6" state="visible" r:id="rId6"/>
    <sheet name="Público x Privado" sheetId="7" state="visible" r:id="rId7"/>
    <sheet name="Projeção 3 an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A1A2E"/>
      <sz val="15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7C6EF0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DCE6FF"/>
      </patternFill>
    </fill>
    <fill>
      <patternFill patternType="solid">
        <fgColor rgb="00FFF3B0"/>
      </patternFill>
    </fill>
    <fill>
      <patternFill patternType="solid">
        <fgColor rgb="007C6EF0"/>
      </patternFill>
    </fill>
    <fill>
      <patternFill patternType="solid">
        <fgColor rgb="00E7F7E1"/>
      </patternFill>
    </fill>
  </fills>
  <borders count="2">
    <border>
      <left/>
      <right/>
      <top/>
      <bottom/>
      <diagonal/>
    </border>
    <border>
      <left style="thin">
        <color rgb="00D9D9E3"/>
      </left>
      <right style="thin">
        <color rgb="00D9D9E3"/>
      </right>
      <top style="thin">
        <color rgb="00D9D9E3"/>
      </top>
      <bottom style="thin">
        <color rgb="00D9D9E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0" borderId="0" pivotButton="0" quotePrefix="0" xfId="0"/>
    <xf numFmtId="164" fontId="6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7" fillId="5" borderId="0" pivotButton="0" quotePrefix="0" xfId="0"/>
    <xf numFmtId="0" fontId="6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6" fillId="4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55" customWidth="1" min="3" max="3"/>
  </cols>
  <sheetData>
    <row r="1">
      <c r="A1" s="1" t="inlineStr">
        <is>
          <t>Gamifica — Estudo de Precificação para Escolas</t>
        </is>
      </c>
    </row>
    <row r="2">
      <c r="A2" s="2" t="inlineStr">
        <is>
          <t>Planilha de análise para decidir como cobrar. Todos os valores em R$ são sugestões de mercado, para validar.</t>
        </is>
      </c>
    </row>
    <row r="4">
      <c r="B4" s="3" t="inlineStr"/>
      <c r="C4" s="4" t="inlineStr"/>
    </row>
    <row r="5">
      <c r="B5" s="5" t="inlineStr">
        <is>
          <t>COMO USAR</t>
        </is>
      </c>
      <c r="C5" s="6" t="n"/>
    </row>
    <row r="6">
      <c r="B6" s="7" t="inlineStr">
        <is>
          <t>Azul</t>
        </is>
      </c>
      <c r="C6" s="4" t="inlineStr">
        <is>
          <t>Célula de ENTRADA — pode alterar à vontade (nº de alunos, preços, etc.).</t>
        </is>
      </c>
    </row>
    <row r="7">
      <c r="B7" s="8" t="inlineStr">
        <is>
          <t>Amarelo</t>
        </is>
      </c>
      <c r="C7" s="4" t="inlineStr">
        <is>
          <t>Premissa-chave / valor de mercado a validar com seu sócio.</t>
        </is>
      </c>
    </row>
    <row r="8">
      <c r="B8" s="3" t="inlineStr">
        <is>
          <t>Preto</t>
        </is>
      </c>
      <c r="C8" s="4" t="inlineStr">
        <is>
          <t>Fórmula — calculada automaticamente; não precisa editar.</t>
        </is>
      </c>
    </row>
    <row r="9">
      <c r="B9" s="3" t="inlineStr"/>
      <c r="C9" s="4" t="inlineStr"/>
    </row>
    <row r="10">
      <c r="B10" s="5" t="inlineStr">
        <is>
          <t>ABAS</t>
        </is>
      </c>
      <c r="C10" s="6" t="n"/>
    </row>
    <row r="11">
      <c r="B11" s="3" t="inlineStr">
        <is>
          <t>Benchmark</t>
        </is>
      </c>
      <c r="C11" s="4" t="inlineStr">
        <is>
          <t>O que as principais plataformas cobram hoje (com fontes).</t>
        </is>
      </c>
    </row>
    <row r="12">
      <c r="B12" s="3" t="inlineStr">
        <is>
          <t>Balões de Cobrança</t>
        </is>
      </c>
      <c r="C12" s="4" t="inlineStr">
        <is>
          <t>TODOS os itens que se pode cobrar de uma escola (único e recorrente).</t>
        </is>
      </c>
    </row>
    <row r="13">
      <c r="B13" s="3" t="inlineStr">
        <is>
          <t>Modelo A — Por Aluno</t>
        </is>
      </c>
      <c r="C13" s="4" t="inlineStr">
        <is>
          <t>Calculadora do preço por aluno, com faixas por volume.</t>
        </is>
      </c>
    </row>
    <row r="14">
      <c r="B14" s="3" t="inlineStr">
        <is>
          <t>Modelo B — Pacote</t>
        </is>
      </c>
      <c r="C14" s="4" t="inlineStr">
        <is>
          <t>Calculadora do pacote fechado por faixa de tamanho da escola.</t>
        </is>
      </c>
    </row>
    <row r="15">
      <c r="B15" s="3" t="inlineStr">
        <is>
          <t>Por Aluno x Pacote</t>
        </is>
      </c>
      <c r="C15" s="4" t="inlineStr">
        <is>
          <t>Comparação lado a lado + ponto de equilíbrio (break-even).</t>
        </is>
      </c>
    </row>
    <row r="16">
      <c r="B16" s="3" t="inlineStr">
        <is>
          <t>Público x Privado</t>
        </is>
      </c>
      <c r="C16" s="4" t="inlineStr">
        <is>
          <t>Como a cobrança muda entre escola privada e rede pública.</t>
        </is>
      </c>
    </row>
    <row r="17">
      <c r="B17" s="3" t="inlineStr">
        <is>
          <t>Projeção 3 anos</t>
        </is>
      </c>
      <c r="C17" s="4" t="inlineStr">
        <is>
          <t>Simulação de receita (implantação + recorrência) e margem.</t>
        </is>
      </c>
    </row>
    <row r="18">
      <c r="B18" s="3" t="inlineStr"/>
      <c r="C18" s="4" t="inlineStr"/>
    </row>
    <row r="19">
      <c r="B19" s="5" t="inlineStr">
        <is>
          <t>RESUMO DA RECOMENDAÇÃO</t>
        </is>
      </c>
      <c r="C19" s="6" t="n"/>
    </row>
    <row r="20">
      <c r="B20" s="3" t="inlineStr">
        <is>
          <t>Modelo híbrido</t>
        </is>
      </c>
      <c r="C20" s="4" t="inlineStr">
        <is>
          <t>Pacote fechado por faixa para escolas pequenas/médias (venda simples) + preço por aluno para redes grandes e público (escala).</t>
        </is>
      </c>
    </row>
    <row r="21">
      <c r="B21" s="3" t="inlineStr">
        <is>
          <t>Sempre cobrar 2 balões no mínimo</t>
        </is>
      </c>
      <c r="C21" s="4" t="inlineStr">
        <is>
          <t>1) Implantação (único) + 2) Licença recorrente (mensal/anual). Os demais balões são add-ons opcionais.</t>
        </is>
      </c>
    </row>
    <row r="22">
      <c r="B22" s="3" t="inlineStr">
        <is>
          <t>Ancoragem</t>
        </is>
      </c>
      <c r="C22" s="4" t="inlineStr">
        <is>
          <t>Cobrar por VALOR (engajamento, jogos exclusivos, sem punição), não por custo. A margem é alta: app leve, instância por escola.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16" customWidth="1" min="4" max="4"/>
    <col width="40" customWidth="1" min="5" max="5"/>
  </cols>
  <sheetData>
    <row r="1">
      <c r="A1" s="1" t="inlineStr">
        <is>
          <t>Benchmark — o que o mercado cobra</t>
        </is>
      </c>
      <c r="F1" s="9" t="inlineStr">
        <is>
          <t>Câmbio US$→R$</t>
        </is>
      </c>
      <c r="G1" s="10" t="n">
        <v>5.4</v>
      </c>
    </row>
    <row r="2">
      <c r="A2" s="2" t="inlineStr">
        <is>
          <t>Concorrentes internacionais têm preço público (por professor). Nacionais são 'sob consulta'. Câmbio editável abaixo.</t>
        </is>
      </c>
    </row>
    <row r="4">
      <c r="A4" s="11" t="inlineStr">
        <is>
          <t>Plataforma</t>
        </is>
      </c>
      <c r="B4" s="11" t="inlineStr">
        <is>
          <t>Modelo</t>
        </is>
      </c>
      <c r="C4" s="11" t="inlineStr">
        <is>
          <t>Preço (moeda de origem)</t>
        </is>
      </c>
      <c r="D4" s="11" t="inlineStr">
        <is>
          <t>≈ em R$</t>
        </is>
      </c>
      <c r="E4" s="11" t="inlineStr">
        <is>
          <t>Observação</t>
        </is>
      </c>
    </row>
    <row r="5">
      <c r="A5" s="12" t="inlineStr">
        <is>
          <t>Kahoot!</t>
        </is>
      </c>
      <c r="B5" s="13" t="inlineStr">
        <is>
          <t>Por professor/mês</t>
        </is>
      </c>
      <c r="C5" s="13" t="inlineStr">
        <is>
          <t>US$ 10 a 49 (escola: a partir de US$ 29/prof/mês)</t>
        </is>
      </c>
      <c r="D5" s="14">
        <f>29*$G$1</f>
        <v/>
      </c>
      <c r="E5" s="13" t="inlineStr">
        <is>
          <t>Cobra por professor, não por aluno.</t>
        </is>
      </c>
    </row>
    <row r="6">
      <c r="A6" s="12" t="inlineStr">
        <is>
          <t>Gimkit</t>
        </is>
      </c>
      <c r="B6" s="13" t="inlineStr">
        <is>
          <t>Por escola/ano</t>
        </is>
      </c>
      <c r="C6" s="13" t="inlineStr">
        <is>
          <t>US$ 1.000/ano (departamento US$ 650/ano)</t>
        </is>
      </c>
      <c r="D6" s="14">
        <f>1000*$G$1</f>
        <v/>
      </c>
      <c r="E6" s="13" t="inlineStr">
        <is>
          <t>Licença de escola anual.</t>
        </is>
      </c>
    </row>
    <row r="7">
      <c r="A7" s="12" t="inlineStr">
        <is>
          <t>Quizizz (Wayground)</t>
        </is>
      </c>
      <c r="B7" s="13" t="inlineStr">
        <is>
          <t>Individual / escola</t>
        </is>
      </c>
      <c r="C7" s="13" t="inlineStr">
        <is>
          <t>Indiv. ~US$ 144/ano · escola sob consulta</t>
        </is>
      </c>
      <c r="D7" s="14">
        <f>144*$G$1</f>
        <v/>
      </c>
      <c r="E7" s="13" t="inlineStr">
        <is>
          <t>Time até 30 ~US$ 50/mês.</t>
        </is>
      </c>
    </row>
    <row r="8">
      <c r="A8" s="12" t="inlineStr">
        <is>
          <t>ClassDojo</t>
        </is>
      </c>
      <c r="B8" s="13" t="inlineStr">
        <is>
          <t>Freemium</t>
        </is>
      </c>
      <c r="C8" s="13" t="inlineStr">
        <is>
          <t>Núcleo grátis · família US$ 110/ano</t>
        </is>
      </c>
      <c r="D8" s="14">
        <f>110*$G$1</f>
        <v/>
      </c>
      <c r="E8" s="13" t="inlineStr">
        <is>
          <t>Monetiza a família, não a escola.</t>
        </is>
      </c>
    </row>
    <row r="9">
      <c r="A9" s="12" t="inlineStr">
        <is>
          <t>Classcraft</t>
        </is>
      </c>
      <c r="B9" s="13" t="inlineStr">
        <is>
          <t>Enterprise</t>
        </is>
      </c>
      <c r="C9" s="13" t="inlineStr">
        <is>
          <t>Sob consulta (grupo HMH)</t>
        </is>
      </c>
      <c r="D9" s="15" t="inlineStr">
        <is>
          <t>—</t>
        </is>
      </c>
      <c r="E9" s="13" t="inlineStr">
        <is>
          <t>Venda corporativa/rede.</t>
        </is>
      </c>
    </row>
    <row r="10">
      <c r="A10" s="12" t="inlineStr">
        <is>
          <t>Educacross (BR)</t>
        </is>
      </c>
      <c r="B10" s="13" t="inlineStr">
        <is>
          <t>Por aluno</t>
        </is>
      </c>
      <c r="C10" s="13" t="inlineStr">
        <is>
          <t>Sob consulta</t>
        </is>
      </c>
      <c r="D10" s="15" t="inlineStr">
        <is>
          <t>—</t>
        </is>
      </c>
      <c r="E10" s="13" t="inlineStr">
        <is>
          <t>Adaptativa+gamificada, pública e privada.</t>
        </is>
      </c>
    </row>
    <row r="11">
      <c r="A11" s="12" t="inlineStr">
        <is>
          <t>Gamefic (BR)</t>
        </is>
      </c>
      <c r="B11" s="13" t="inlineStr">
        <is>
          <t>Por escola</t>
        </is>
      </c>
      <c r="C11" s="13" t="inlineStr">
        <is>
          <t>Sob consulta</t>
        </is>
      </c>
      <c r="D11" s="15" t="inlineStr">
        <is>
          <t>—</t>
        </is>
      </c>
      <c r="E11" s="13" t="inlineStr">
        <is>
          <t>Rede social gamificada da escola.</t>
        </is>
      </c>
    </row>
    <row r="13">
      <c r="A13" s="9" t="inlineStr">
        <is>
          <t>Leitura</t>
        </is>
      </c>
      <c r="B13" s="4" t="inlineStr">
        <is>
          <t>A maioria cobra POR PROFESSOR. Para uma plataforma que o ALUNO usa todo dia, cobrar por aluno ou por pacote de escola captura muito mais valor.</t>
        </is>
      </c>
    </row>
    <row r="15">
      <c r="A15" s="2" t="inlineStr">
        <is>
          <t>Fontes:</t>
        </is>
      </c>
      <c r="B15" s="16" t="inlineStr">
        <is>
          <t>Kahoot/Gimkit/ClassDojo/Quizizz: páginas de pricing e reviews 2025-2026 (makerstations, easternherald, capterra, saasworthy).</t>
        </is>
      </c>
    </row>
    <row r="16">
      <c r="B16" s="16" t="inlineStr">
        <is>
          <t>Educacross e Gamefic: sites oficiais (sob consulta).</t>
        </is>
      </c>
    </row>
  </sheetData>
  <mergeCells count="1">
    <mergeCell ref="B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26" customWidth="1" min="4" max="4"/>
    <col width="46" customWidth="1" min="5" max="5"/>
  </cols>
  <sheetData>
    <row r="1">
      <c r="A1" s="1" t="inlineStr">
        <is>
          <t>Balões de cobrança — todos os itens possíveis</t>
        </is>
      </c>
    </row>
    <row r="2">
      <c r="A2" s="2" t="inlineStr">
        <is>
          <t>Menu completo do que se pode cobrar de uma escola. Combine conforme o cliente. Valores sugeridos para validar (amarelo).</t>
        </is>
      </c>
    </row>
    <row r="4">
      <c r="A4" s="11" t="inlineStr">
        <is>
          <t>#</t>
        </is>
      </c>
      <c r="B4" s="11" t="inlineStr">
        <is>
          <t>Balão / item</t>
        </is>
      </c>
      <c r="C4" s="11" t="inlineStr">
        <is>
          <t>Tipo</t>
        </is>
      </c>
      <c r="D4" s="11" t="inlineStr">
        <is>
          <t>Faixa sugerida (R$)</t>
        </is>
      </c>
      <c r="E4" s="11" t="inlineStr">
        <is>
          <t>Quando aplicar</t>
        </is>
      </c>
    </row>
    <row r="5" ht="30" customHeight="1">
      <c r="A5" s="15" t="n">
        <v>1</v>
      </c>
      <c r="B5" s="12" t="inlineStr">
        <is>
          <t>Implantação / Setup</t>
        </is>
      </c>
      <c r="C5" s="17" t="inlineStr">
        <is>
          <t>Único</t>
        </is>
      </c>
      <c r="D5" s="18" t="inlineStr">
        <is>
          <t>1.500 a 4.000</t>
        </is>
      </c>
      <c r="E5" s="13" t="inlineStr">
        <is>
          <t>Configurar a instância, importar alunos/turmas, aplicar marca. Principal receita inicial.</t>
        </is>
      </c>
    </row>
    <row r="6" ht="30" customHeight="1">
      <c r="A6" s="15" t="n">
        <v>2</v>
      </c>
      <c r="B6" s="12" t="inlineStr">
        <is>
          <t>Taxa de adesão (alternativa leve)</t>
        </is>
      </c>
      <c r="C6" s="17" t="inlineStr">
        <is>
          <t>Único</t>
        </is>
      </c>
      <c r="D6" s="18" t="inlineStr">
        <is>
          <t>500 a 1.500</t>
        </is>
      </c>
      <c r="E6" s="13" t="inlineStr">
        <is>
          <t>Quando a escola resiste a setup alto; entrada menor para destravar a venda.</t>
        </is>
      </c>
    </row>
    <row r="7" ht="30" customHeight="1">
      <c r="A7" s="15" t="n">
        <v>3</v>
      </c>
      <c r="B7" s="12" t="inlineStr">
        <is>
          <t>Licença POR ALUNO</t>
        </is>
      </c>
      <c r="C7" s="19" t="inlineStr">
        <is>
          <t>Recorrente</t>
        </is>
      </c>
      <c r="D7" s="18" t="inlineStr">
        <is>
          <t>4 a 9 /aluno/mês</t>
        </is>
      </c>
      <c r="E7" s="13" t="inlineStr">
        <is>
          <t>Modelo A. Escala com o tamanho da escola; ideal para redes e público.</t>
        </is>
      </c>
    </row>
    <row r="8" ht="30" customHeight="1">
      <c r="A8" s="15" t="n">
        <v>4</v>
      </c>
      <c r="B8" s="12" t="inlineStr">
        <is>
          <t>Licença PACOTE FECHADO</t>
        </is>
      </c>
      <c r="C8" s="19" t="inlineStr">
        <is>
          <t>Recorrente</t>
        </is>
      </c>
      <c r="D8" s="18" t="inlineStr">
        <is>
          <t>690 / 1.490 / 2.490 /mês</t>
        </is>
      </c>
      <c r="E8" s="13" t="inlineStr">
        <is>
          <t>Modelo B. Faixas por tamanho; venda simples para privadas pequenas/médias.</t>
        </is>
      </c>
    </row>
    <row r="9" ht="30" customHeight="1">
      <c r="A9" s="15" t="n">
        <v>5</v>
      </c>
      <c r="B9" s="12" t="inlineStr">
        <is>
          <t>Treinamento inicial (onboarding)</t>
        </is>
      </c>
      <c r="C9" s="17" t="inlineStr">
        <is>
          <t>Único</t>
        </is>
      </c>
      <c r="D9" s="18" t="inlineStr">
        <is>
          <t>800 a 2.500</t>
        </is>
      </c>
      <c r="E9" s="13" t="inlineStr">
        <is>
          <t>Formação dos professores no 1º mês. Pode ser incluído para fechar contrato anual.</t>
        </is>
      </c>
    </row>
    <row r="10" ht="30" customHeight="1">
      <c r="A10" s="15" t="n">
        <v>6</v>
      </c>
      <c r="B10" s="12" t="inlineStr">
        <is>
          <t>Formação continuada / certificação</t>
        </is>
      </c>
      <c r="C10" s="19" t="inlineStr">
        <is>
          <t>Recorrente</t>
        </is>
      </c>
      <c r="D10" s="18" t="inlineStr">
        <is>
          <t>1.200 a 3.600 /ano</t>
        </is>
      </c>
      <c r="E10" s="13" t="inlineStr">
        <is>
          <t>Trilha de capacitação e certificado para os professores ao longo do ano.</t>
        </is>
      </c>
    </row>
    <row r="11" ht="30" customHeight="1">
      <c r="A11" s="15" t="n">
        <v>7</v>
      </c>
      <c r="B11" s="12" t="inlineStr">
        <is>
          <t>Suporte premium / SLA</t>
        </is>
      </c>
      <c r="C11" s="19" t="inlineStr">
        <is>
          <t>Recorrente</t>
        </is>
      </c>
      <c r="D11" s="18" t="inlineStr">
        <is>
          <t>300 a 800 /mês</t>
        </is>
      </c>
      <c r="E11" s="13" t="inlineStr">
        <is>
          <t>Atendimento prioritário, gerente de conta, SLA de resposta. Básico já incluso.</t>
        </is>
      </c>
    </row>
    <row r="12" ht="30" customHeight="1">
      <c r="A12" s="15" t="n">
        <v>8</v>
      </c>
      <c r="B12" s="12" t="inlineStr">
        <is>
          <t>Módulos premium / novos jogos</t>
        </is>
      </c>
      <c r="C12" s="19" t="inlineStr">
        <is>
          <t>Recorrente</t>
        </is>
      </c>
      <c r="D12" s="18" t="inlineStr">
        <is>
          <t>+10% a 25% da licença</t>
        </is>
      </c>
      <c r="E12" s="13" t="inlineStr">
        <is>
          <t>Jogos avançados (Sala de Enigmas, Laboratório), relatórios avançados, ao vivo.</t>
        </is>
      </c>
    </row>
    <row r="13" ht="30" customHeight="1">
      <c r="A13" s="15" t="n">
        <v>9</v>
      </c>
      <c r="B13" s="12" t="inlineStr">
        <is>
          <t>Banco de conteúdo BNCC</t>
        </is>
      </c>
      <c r="C13" s="19" t="inlineStr">
        <is>
          <t>Único/Recorr.</t>
        </is>
      </c>
      <c r="D13" s="18" t="inlineStr">
        <is>
          <t>500 a 2.000</t>
        </is>
      </c>
      <c r="E13" s="13" t="inlineStr">
        <is>
          <t>Atividades prontas por ano e disciplina; atualização anual do banco.</t>
        </is>
      </c>
    </row>
    <row r="14" ht="30" customHeight="1">
      <c r="A14" s="15" t="n">
        <v>10</v>
      </c>
      <c r="B14" s="12" t="inlineStr">
        <is>
          <t>White-label / marca própria</t>
        </is>
      </c>
      <c r="C14" s="19" t="inlineStr">
        <is>
          <t>Único + Recorr.</t>
        </is>
      </c>
      <c r="D14" s="18" t="inlineStr">
        <is>
          <t>3.000 setup + 300 /mês</t>
        </is>
      </c>
      <c r="E14" s="13" t="inlineStr">
        <is>
          <t>Domínio e identidade da escola/rede. Diferencial para grupos e franquias.</t>
        </is>
      </c>
    </row>
    <row r="15" ht="30" customHeight="1">
      <c r="A15" s="15" t="n">
        <v>11</v>
      </c>
      <c r="B15" s="12" t="inlineStr">
        <is>
          <t>Integrações (Classroom, ERP, SSO)</t>
        </is>
      </c>
      <c r="C15" s="17" t="inlineStr">
        <is>
          <t>Único</t>
        </is>
      </c>
      <c r="D15" s="18" t="inlineStr">
        <is>
          <t>800 a 3.000 /integração</t>
        </is>
      </c>
      <c r="E15" s="13" t="inlineStr">
        <is>
          <t>Conectar ao Google Classroom ou ao sistema de gestão da escola.</t>
        </is>
      </c>
    </row>
    <row r="16" ht="30" customHeight="1">
      <c r="A16" s="15" t="n">
        <v>12</v>
      </c>
      <c r="B16" s="12" t="inlineStr">
        <is>
          <t>Instância dedicada / uptime</t>
        </is>
      </c>
      <c r="C16" s="19" t="inlineStr">
        <is>
          <t>Recorrente</t>
        </is>
      </c>
      <c r="D16" s="18" t="inlineStr">
        <is>
          <t>incluído ou +200 /mês</t>
        </is>
      </c>
      <c r="E16" s="13" t="inlineStr">
        <is>
          <t>Isolamento de dados por escola (já é diferencial nosso) e garantia de disponibilidade.</t>
        </is>
      </c>
    </row>
    <row r="17" ht="30" customHeight="1">
      <c r="A17" s="15" t="n">
        <v>13</v>
      </c>
      <c r="B17" s="12" t="inlineStr">
        <is>
          <t>Consultoria pedagógica / conteúdo sob medida</t>
        </is>
      </c>
      <c r="C17" s="15" t="inlineStr">
        <is>
          <t>Serviço (hora/pacote)</t>
        </is>
      </c>
      <c r="D17" s="18" t="inlineStr">
        <is>
          <t>150 a 300 /hora</t>
        </is>
      </c>
      <c r="E17" s="13" t="inlineStr">
        <is>
          <t>Criar conteúdo específico ou acompanhar o uso pedagógico.</t>
        </is>
      </c>
    </row>
    <row r="18" ht="30" customHeight="1">
      <c r="A18" s="15" t="n">
        <v>14</v>
      </c>
      <c r="B18" s="12" t="inlineStr">
        <is>
          <t>Reajuste anual (cláusula)</t>
        </is>
      </c>
      <c r="C18" s="19" t="inlineStr">
        <is>
          <t>Recorrente</t>
        </is>
      </c>
      <c r="D18" s="18" t="inlineStr">
        <is>
          <t>IPCA / IGPM</t>
        </is>
      </c>
      <c r="E18" s="13" t="inlineStr">
        <is>
          <t>Reajuste automático no aniversário do contrato. Proteção de margem.</t>
        </is>
      </c>
    </row>
    <row r="19" ht="30" customHeight="1">
      <c r="A19" s="15" t="n">
        <v>15</v>
      </c>
      <c r="B19" s="12" t="inlineStr">
        <is>
          <t>Licença por REDE / Secretaria (público)</t>
        </is>
      </c>
      <c r="C19" s="19" t="inlineStr">
        <is>
          <t>Recorrente</t>
        </is>
      </c>
      <c r="D19" s="18" t="inlineStr">
        <is>
          <t>2 a 6 /aluno/mês (escala)</t>
        </is>
      </c>
      <c r="E19" s="13" t="inlineStr">
        <is>
          <t>Contrato guarda-chuva por município; implantação e formação como itens do edital.</t>
        </is>
      </c>
    </row>
    <row r="20" ht="30" customHeight="1">
      <c r="A20" s="15" t="n">
        <v>16</v>
      </c>
      <c r="B20" s="12" t="inlineStr">
        <is>
          <t>Relatórios institucionais / selo</t>
        </is>
      </c>
      <c r="C20" s="15" t="inlineStr">
        <is>
          <t>Add-on</t>
        </is>
      </c>
      <c r="D20" s="18" t="inlineStr">
        <is>
          <t>300 a 1.000</t>
        </is>
      </c>
      <c r="E20" s="13" t="inlineStr">
        <is>
          <t>Relatórios de engajamento para a escola usar em marketing e prestação de contas.</t>
        </is>
      </c>
    </row>
    <row r="22">
      <c r="B22" s="20" t="inlineStr">
        <is>
          <t>Recomendação: no mínimo Implantação (único) + uma Licença recorrente. O resto é add-on para subir o ticket.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</cols>
  <sheetData>
    <row r="1">
      <c r="A1" s="1" t="inlineStr">
        <is>
          <t>Modelo A — Preço por aluno (com faixas por volume)</t>
        </is>
      </c>
    </row>
    <row r="2">
      <c r="A2" s="2" t="inlineStr">
        <is>
          <t>Quanto mais alunos, menor o preço unitário. Edite os preços (amarelo) e o nº de alunos (azul).</t>
        </is>
      </c>
    </row>
    <row r="4">
      <c r="A4" s="11" t="inlineStr">
        <is>
          <t>Faixa (min alunos)</t>
        </is>
      </c>
      <c r="B4" s="11" t="inlineStr">
        <is>
          <t>até</t>
        </is>
      </c>
      <c r="C4" s="11" t="inlineStr">
        <is>
          <t>Preço R$/aluno/mês</t>
        </is>
      </c>
    </row>
    <row r="5">
      <c r="A5" s="21" t="n">
        <v>1</v>
      </c>
      <c r="B5" s="15" t="n">
        <v>150</v>
      </c>
      <c r="C5" s="22" t="n">
        <v>8</v>
      </c>
    </row>
    <row r="6">
      <c r="A6" s="21" t="n">
        <v>151</v>
      </c>
      <c r="B6" s="15" t="n">
        <v>400</v>
      </c>
      <c r="C6" s="22" t="n">
        <v>6.5</v>
      </c>
    </row>
    <row r="7">
      <c r="A7" s="21" t="n">
        <v>401</v>
      </c>
      <c r="B7" s="15" t="n">
        <v>800</v>
      </c>
      <c r="C7" s="22" t="n">
        <v>5</v>
      </c>
    </row>
    <row r="8">
      <c r="A8" s="21" t="n">
        <v>801</v>
      </c>
      <c r="B8" s="15" t="inlineStr">
        <is>
          <t>9999+</t>
        </is>
      </c>
      <c r="C8" s="22" t="n">
        <v>4</v>
      </c>
    </row>
    <row r="10">
      <c r="A10" s="23" t="inlineStr">
        <is>
          <t>CALCULADORA</t>
        </is>
      </c>
    </row>
    <row r="11">
      <c r="A11" s="12" t="inlineStr">
        <is>
          <t>Nº de alunos da escola</t>
        </is>
      </c>
      <c r="B11" s="24" t="n">
        <v>300</v>
      </c>
    </row>
    <row r="12">
      <c r="A12" s="12" t="inlineStr">
        <is>
          <t>Preço aplicado (R$/aluno/mês)</t>
        </is>
      </c>
      <c r="B12" s="25">
        <f>INDEX(C5:C8,MATCH(B11,A5:A8,1))</f>
        <v/>
      </c>
    </row>
    <row r="13">
      <c r="A13" s="12" t="inlineStr">
        <is>
          <t>Receita mensal</t>
        </is>
      </c>
      <c r="B13" s="26">
        <f>B11*B12</f>
        <v/>
      </c>
    </row>
    <row r="14">
      <c r="A14" s="12" t="inlineStr">
        <is>
          <t>Receita anual (x12)</t>
        </is>
      </c>
      <c r="B14" s="26">
        <f>B13*12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0" customWidth="1" min="4" max="4"/>
  </cols>
  <sheetData>
    <row r="1">
      <c r="A1" s="1" t="inlineStr">
        <is>
          <t>Modelo B — Pacote fechado por faixa de tamanho</t>
        </is>
      </c>
    </row>
    <row r="2">
      <c r="A2" s="2" t="inlineStr">
        <is>
          <t>Preço fixo mensal por faixa de alunos. Simples de vender. Edite planos e preços (amarelo).</t>
        </is>
      </c>
    </row>
    <row r="4">
      <c r="A4" s="11" t="inlineStr">
        <is>
          <t>Plano</t>
        </is>
      </c>
      <c r="B4" s="11" t="inlineStr">
        <is>
          <t>A partir de (alunos)</t>
        </is>
      </c>
      <c r="C4" s="11" t="inlineStr">
        <is>
          <t>Preço R$/mês</t>
        </is>
      </c>
      <c r="D4" s="11" t="inlineStr">
        <is>
          <t>Alunos de referência</t>
        </is>
      </c>
    </row>
    <row r="5">
      <c r="A5" s="27" t="inlineStr">
        <is>
          <t>Essencial</t>
        </is>
      </c>
      <c r="B5" s="21" t="n">
        <v>1</v>
      </c>
      <c r="C5" s="28" t="n">
        <v>690</v>
      </c>
      <c r="D5" s="15" t="inlineStr">
        <is>
          <t>até 150</t>
        </is>
      </c>
    </row>
    <row r="6">
      <c r="A6" s="27" t="inlineStr">
        <is>
          <t>Crescer</t>
        </is>
      </c>
      <c r="B6" s="21" t="n">
        <v>151</v>
      </c>
      <c r="C6" s="28" t="n">
        <v>1490</v>
      </c>
      <c r="D6" s="15" t="inlineStr">
        <is>
          <t>151 a 400</t>
        </is>
      </c>
    </row>
    <row r="7">
      <c r="A7" s="27" t="inlineStr">
        <is>
          <t>Escola+</t>
        </is>
      </c>
      <c r="B7" s="21" t="n">
        <v>401</v>
      </c>
      <c r="C7" s="28" t="n">
        <v>2490</v>
      </c>
      <c r="D7" s="15" t="inlineStr">
        <is>
          <t>401 a 800</t>
        </is>
      </c>
    </row>
    <row r="8">
      <c r="A8" s="27" t="inlineStr">
        <is>
          <t>Rede</t>
        </is>
      </c>
      <c r="B8" s="21" t="n">
        <v>801</v>
      </c>
      <c r="C8" s="28" t="n">
        <v>3990</v>
      </c>
      <c r="D8" s="15" t="inlineStr">
        <is>
          <t>801+ (ou por aluno)</t>
        </is>
      </c>
    </row>
    <row r="10">
      <c r="A10" s="23" t="inlineStr">
        <is>
          <t>CALCULADORA</t>
        </is>
      </c>
    </row>
    <row r="11">
      <c r="A11" s="12" t="inlineStr">
        <is>
          <t>Nº de alunos da escola</t>
        </is>
      </c>
      <c r="B11" s="24" t="n">
        <v>300</v>
      </c>
    </row>
    <row r="12">
      <c r="A12" s="12" t="inlineStr">
        <is>
          <t>Plano aplicado</t>
        </is>
      </c>
      <c r="B12" s="15">
        <f>INDEX(A5:A8,MATCH(B11,B5:B8,1))</f>
        <v/>
      </c>
    </row>
    <row r="13">
      <c r="A13" s="12" t="inlineStr">
        <is>
          <t>Preço mensal</t>
        </is>
      </c>
      <c r="B13" s="26">
        <f>INDEX(C5:C8,MATCH(B11,B5:B8,1))</f>
        <v/>
      </c>
    </row>
    <row r="14">
      <c r="A14" s="12" t="inlineStr">
        <is>
          <t>Preço anual (x12)</t>
        </is>
      </c>
      <c r="B14" s="26">
        <f>B13*12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6" customWidth="1" min="4" max="4"/>
    <col width="14" customWidth="1" min="5" max="5"/>
    <col width="20" customWidth="1" min="6" max="6"/>
  </cols>
  <sheetData>
    <row r="1">
      <c r="A1" s="1" t="inlineStr">
        <is>
          <t>Por aluno x Pacote — comparação e ponto de equilíbrio</t>
        </is>
      </c>
    </row>
    <row r="2">
      <c r="A2" s="2" t="inlineStr">
        <is>
          <t>Para cada tamanho de escola: quanto sai em cada modelo e qual rende mais. Puxa preços dos Modelos A e B.</t>
        </is>
      </c>
    </row>
    <row r="4">
      <c r="A4" s="11" t="inlineStr">
        <is>
          <t>Alunos</t>
        </is>
      </c>
      <c r="B4" s="11" t="inlineStr">
        <is>
          <t>Preço/aluno</t>
        </is>
      </c>
      <c r="C4" s="11" t="inlineStr">
        <is>
          <t>Por aluno (R$/mês)</t>
        </is>
      </c>
      <c r="D4" s="11" t="inlineStr">
        <is>
          <t>Pacote (R$/mês)</t>
        </is>
      </c>
      <c r="E4" s="11" t="inlineStr">
        <is>
          <t>Diferença</t>
        </is>
      </c>
      <c r="F4" s="11" t="inlineStr">
        <is>
          <t>Rende mais p/ nós</t>
        </is>
      </c>
    </row>
    <row r="5">
      <c r="A5" s="21" t="n">
        <v>50</v>
      </c>
      <c r="B5" s="25">
        <f>INDEX('Modelo A — Por Aluno'!$C$5:$C$8,MATCH(A5,'Modelo A — Por Aluno'!$A$5:$A$8,1))</f>
        <v/>
      </c>
      <c r="C5" s="26">
        <f>A5*B5</f>
        <v/>
      </c>
      <c r="D5" s="26">
        <f>INDEX('Modelo B — Pacote'!$C$5:$C$8,MATCH(A5,'Modelo B — Pacote'!$B$5:$B$8,1))</f>
        <v/>
      </c>
      <c r="E5" s="26">
        <f>C5-D5</f>
        <v/>
      </c>
      <c r="F5" s="15">
        <f>IF(C5&gt;D5,"Por aluno","Pacote")</f>
        <v/>
      </c>
    </row>
    <row r="6">
      <c r="A6" s="21" t="n">
        <v>100</v>
      </c>
      <c r="B6" s="25">
        <f>INDEX('Modelo A — Por Aluno'!$C$5:$C$8,MATCH(A6,'Modelo A — Por Aluno'!$A$5:$A$8,1))</f>
        <v/>
      </c>
      <c r="C6" s="26">
        <f>A6*B6</f>
        <v/>
      </c>
      <c r="D6" s="26">
        <f>INDEX('Modelo B — Pacote'!$C$5:$C$8,MATCH(A6,'Modelo B — Pacote'!$B$5:$B$8,1))</f>
        <v/>
      </c>
      <c r="E6" s="26">
        <f>C6-D6</f>
        <v/>
      </c>
      <c r="F6" s="15">
        <f>IF(C6&gt;D6,"Por aluno","Pacote")</f>
        <v/>
      </c>
    </row>
    <row r="7">
      <c r="A7" s="21" t="n">
        <v>150</v>
      </c>
      <c r="B7" s="25">
        <f>INDEX('Modelo A — Por Aluno'!$C$5:$C$8,MATCH(A7,'Modelo A — Por Aluno'!$A$5:$A$8,1))</f>
        <v/>
      </c>
      <c r="C7" s="26">
        <f>A7*B7</f>
        <v/>
      </c>
      <c r="D7" s="26">
        <f>INDEX('Modelo B — Pacote'!$C$5:$C$8,MATCH(A7,'Modelo B — Pacote'!$B$5:$B$8,1))</f>
        <v/>
      </c>
      <c r="E7" s="26">
        <f>C7-D7</f>
        <v/>
      </c>
      <c r="F7" s="15">
        <f>IF(C7&gt;D7,"Por aluno","Pacote")</f>
        <v/>
      </c>
    </row>
    <row r="8">
      <c r="A8" s="21" t="n">
        <v>200</v>
      </c>
      <c r="B8" s="25">
        <f>INDEX('Modelo A — Por Aluno'!$C$5:$C$8,MATCH(A8,'Modelo A — Por Aluno'!$A$5:$A$8,1))</f>
        <v/>
      </c>
      <c r="C8" s="26">
        <f>A8*B8</f>
        <v/>
      </c>
      <c r="D8" s="26">
        <f>INDEX('Modelo B — Pacote'!$C$5:$C$8,MATCH(A8,'Modelo B — Pacote'!$B$5:$B$8,1))</f>
        <v/>
      </c>
      <c r="E8" s="26">
        <f>C8-D8</f>
        <v/>
      </c>
      <c r="F8" s="15">
        <f>IF(C8&gt;D8,"Por aluno","Pacote")</f>
        <v/>
      </c>
    </row>
    <row r="9">
      <c r="A9" s="21" t="n">
        <v>300</v>
      </c>
      <c r="B9" s="25">
        <f>INDEX('Modelo A — Por Aluno'!$C$5:$C$8,MATCH(A9,'Modelo A — Por Aluno'!$A$5:$A$8,1))</f>
        <v/>
      </c>
      <c r="C9" s="26">
        <f>A9*B9</f>
        <v/>
      </c>
      <c r="D9" s="26">
        <f>INDEX('Modelo B — Pacote'!$C$5:$C$8,MATCH(A9,'Modelo B — Pacote'!$B$5:$B$8,1))</f>
        <v/>
      </c>
      <c r="E9" s="26">
        <f>C9-D9</f>
        <v/>
      </c>
      <c r="F9" s="15">
        <f>IF(C9&gt;D9,"Por aluno","Pacote")</f>
        <v/>
      </c>
    </row>
    <row r="10">
      <c r="A10" s="21" t="n">
        <v>400</v>
      </c>
      <c r="B10" s="25">
        <f>INDEX('Modelo A — Por Aluno'!$C$5:$C$8,MATCH(A10,'Modelo A — Por Aluno'!$A$5:$A$8,1))</f>
        <v/>
      </c>
      <c r="C10" s="26">
        <f>A10*B10</f>
        <v/>
      </c>
      <c r="D10" s="26">
        <f>INDEX('Modelo B — Pacote'!$C$5:$C$8,MATCH(A10,'Modelo B — Pacote'!$B$5:$B$8,1))</f>
        <v/>
      </c>
      <c r="E10" s="26">
        <f>C10-D10</f>
        <v/>
      </c>
      <c r="F10" s="15">
        <f>IF(C10&gt;D10,"Por aluno","Pacote")</f>
        <v/>
      </c>
    </row>
    <row r="11">
      <c r="A11" s="21" t="n">
        <v>500</v>
      </c>
      <c r="B11" s="25">
        <f>INDEX('Modelo A — Por Aluno'!$C$5:$C$8,MATCH(A11,'Modelo A — Por Aluno'!$A$5:$A$8,1))</f>
        <v/>
      </c>
      <c r="C11" s="26">
        <f>A11*B11</f>
        <v/>
      </c>
      <c r="D11" s="26">
        <f>INDEX('Modelo B — Pacote'!$C$5:$C$8,MATCH(A11,'Modelo B — Pacote'!$B$5:$B$8,1))</f>
        <v/>
      </c>
      <c r="E11" s="26">
        <f>C11-D11</f>
        <v/>
      </c>
      <c r="F11" s="15">
        <f>IF(C11&gt;D11,"Por aluno","Pacote")</f>
        <v/>
      </c>
    </row>
    <row r="12">
      <c r="A12" s="21" t="n">
        <v>600</v>
      </c>
      <c r="B12" s="25">
        <f>INDEX('Modelo A — Por Aluno'!$C$5:$C$8,MATCH(A12,'Modelo A — Por Aluno'!$A$5:$A$8,1))</f>
        <v/>
      </c>
      <c r="C12" s="26">
        <f>A12*B12</f>
        <v/>
      </c>
      <c r="D12" s="26">
        <f>INDEX('Modelo B — Pacote'!$C$5:$C$8,MATCH(A12,'Modelo B — Pacote'!$B$5:$B$8,1))</f>
        <v/>
      </c>
      <c r="E12" s="26">
        <f>C12-D12</f>
        <v/>
      </c>
      <c r="F12" s="15">
        <f>IF(C12&gt;D12,"Por aluno","Pacote")</f>
        <v/>
      </c>
    </row>
    <row r="13">
      <c r="A13" s="21" t="n">
        <v>800</v>
      </c>
      <c r="B13" s="25">
        <f>INDEX('Modelo A — Por Aluno'!$C$5:$C$8,MATCH(A13,'Modelo A — Por Aluno'!$A$5:$A$8,1))</f>
        <v/>
      </c>
      <c r="C13" s="26">
        <f>A13*B13</f>
        <v/>
      </c>
      <c r="D13" s="26">
        <f>INDEX('Modelo B — Pacote'!$C$5:$C$8,MATCH(A13,'Modelo B — Pacote'!$B$5:$B$8,1))</f>
        <v/>
      </c>
      <c r="E13" s="26">
        <f>C13-D13</f>
        <v/>
      </c>
      <c r="F13" s="15">
        <f>IF(C13&gt;D13,"Por aluno","Pacote")</f>
        <v/>
      </c>
    </row>
    <row r="14">
      <c r="A14" s="21" t="n">
        <v>1000</v>
      </c>
      <c r="B14" s="25">
        <f>INDEX('Modelo A — Por Aluno'!$C$5:$C$8,MATCH(A14,'Modelo A — Por Aluno'!$A$5:$A$8,1))</f>
        <v/>
      </c>
      <c r="C14" s="26">
        <f>A14*B14</f>
        <v/>
      </c>
      <c r="D14" s="26">
        <f>INDEX('Modelo B — Pacote'!$C$5:$C$8,MATCH(A14,'Modelo B — Pacote'!$B$5:$B$8,1))</f>
        <v/>
      </c>
      <c r="E14" s="26">
        <f>C14-D14</f>
        <v/>
      </c>
      <c r="F14" s="15">
        <f>IF(C14&gt;D14,"Por aluno","Pacote")</f>
        <v/>
      </c>
    </row>
    <row r="16">
      <c r="A16" s="9" t="inlineStr">
        <is>
          <t>Como ler</t>
        </is>
      </c>
      <c r="B16" s="4" t="inlineStr">
        <is>
          <t>Onde 'Por aluno' rende mais, ofereça por aluno (escolas grandes). Onde 'Pacote' rende mais, o pacote protege a receita (escolas pequenas). O ideal é listar os DOIS e a equipe comercial escolhe o melhor para cada caso.</t>
        </is>
      </c>
    </row>
    <row r="17"/>
  </sheetData>
  <mergeCells count="1">
    <mergeCell ref="B16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1" t="inlineStr">
        <is>
          <t>Público x Privado — como muda a cobrança</t>
        </is>
      </c>
    </row>
    <row r="2">
      <c r="A2" s="2" t="inlineStr">
        <is>
          <t>A lógica de venda e o modelo mudam entre a escola privada e a rede pública (licitação).</t>
        </is>
      </c>
    </row>
    <row r="4">
      <c r="A4" s="11" t="inlineStr">
        <is>
          <t>Aspecto</t>
        </is>
      </c>
      <c r="B4" s="11" t="inlineStr">
        <is>
          <t>Escola privada</t>
        </is>
      </c>
      <c r="C4" s="11" t="inlineStr">
        <is>
          <t>Rede pública / Secretaria</t>
        </is>
      </c>
    </row>
    <row r="5" ht="30" customHeight="1">
      <c r="A5" s="12" t="inlineStr">
        <is>
          <t>Quem decide</t>
        </is>
      </c>
      <c r="B5" s="13" t="inlineStr">
        <is>
          <t>Diretor/mantenedor — venda rápida (semanas).</t>
        </is>
      </c>
      <c r="C5" s="13" t="inlineStr">
        <is>
          <t>Secretaria via licitação/pregão — ciclo longo (meses).</t>
        </is>
      </c>
    </row>
    <row r="6" ht="30" customHeight="1">
      <c r="A6" s="12" t="inlineStr">
        <is>
          <t>Modelo ideal</t>
        </is>
      </c>
      <c r="B6" s="13" t="inlineStr">
        <is>
          <t>Pacote fechado por faixa (simples) ou por aluno.</t>
        </is>
      </c>
      <c r="C6" s="13" t="inlineStr">
        <is>
          <t>Por aluno em escala (volume alto, preço menor).</t>
        </is>
      </c>
    </row>
    <row r="7" ht="30" customHeight="1">
      <c r="A7" s="12" t="inlineStr">
        <is>
          <t>Preço sugerido</t>
        </is>
      </c>
      <c r="B7" s="13" t="inlineStr">
        <is>
          <t>R$ 4 a 9/aluno/mês OU pacote R$ 690 a 2.490/mês.</t>
        </is>
      </c>
      <c r="C7" s="13" t="inlineStr">
        <is>
          <t>R$ 2 a 6/aluno/mês (grande volume, contrato anual).</t>
        </is>
      </c>
    </row>
    <row r="8" ht="30" customHeight="1">
      <c r="A8" s="12" t="inlineStr">
        <is>
          <t>Implantação</t>
        </is>
      </c>
      <c r="B8" s="13" t="inlineStr">
        <is>
          <t>R$ 1.500 a 4.000 (único).</t>
        </is>
      </c>
      <c r="C8" s="13" t="inlineStr">
        <is>
          <t>Item do edital: implantação + formação + suporte on-site.</t>
        </is>
      </c>
    </row>
    <row r="9" ht="30" customHeight="1">
      <c r="A9" s="12" t="inlineStr">
        <is>
          <t>Treinamento</t>
        </is>
      </c>
      <c r="B9" s="13" t="inlineStr">
        <is>
          <t>Onboarding incluso ou add-on.</t>
        </is>
      </c>
      <c r="C9" s="13" t="inlineStr">
        <is>
          <t>Formação de professores geralmente obrigatória no edital.</t>
        </is>
      </c>
    </row>
    <row r="10" ht="30" customHeight="1">
      <c r="A10" s="12" t="inlineStr">
        <is>
          <t>Faturamento</t>
        </is>
      </c>
      <c r="B10" s="13" t="inlineStr">
        <is>
          <t>Mensal ou anual antecipado.</t>
        </is>
      </c>
      <c r="C10" s="13" t="inlineStr">
        <is>
          <t>Empenho/nota conforme cronograma da prefeitura.</t>
        </is>
      </c>
    </row>
    <row r="11" ht="30" customHeight="1">
      <c r="A11" s="12" t="inlineStr">
        <is>
          <t>Contrato</t>
        </is>
      </c>
      <c r="B11" s="13" t="inlineStr">
        <is>
          <t>12 meses com renovação automática.</t>
        </is>
      </c>
      <c r="C11" s="13" t="inlineStr">
        <is>
          <t>12 meses, prorrogável; sujeito à Lei 14.133/2021.</t>
        </is>
      </c>
    </row>
    <row r="12" ht="30" customHeight="1">
      <c r="A12" s="12" t="inlineStr">
        <is>
          <t>Risco</t>
        </is>
      </c>
      <c r="B12" s="13" t="inlineStr">
        <is>
          <t>Inadimplência baixa, decisão ágil.</t>
        </is>
      </c>
      <c r="C12" s="13" t="inlineStr">
        <is>
          <t>Ciclo e pagamento mais lentos, porém volume e previsibilidade altos.</t>
        </is>
      </c>
    </row>
    <row r="13" ht="30" customHeight="1">
      <c r="A13" s="12" t="inlineStr">
        <is>
          <t>Diferencial que pesa</t>
        </is>
      </c>
      <c r="B13" s="13" t="inlineStr">
        <is>
          <t>Sem punição, jogos exclusivos, portal família.</t>
        </is>
      </c>
      <c r="C13" s="13" t="inlineStr">
        <is>
          <t>Relatórios de rede, BNCC, e Índice de Clima por escola.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Projeção de receita — 3 anos (simplificada)</t>
        </is>
      </c>
    </row>
    <row r="2">
      <c r="A2" s="2" t="inlineStr">
        <is>
          <t>Edite as premissas (azul/amarelo). Modelo simplificado: recorrência = MRR do fim do ano x12.</t>
        </is>
      </c>
    </row>
    <row r="4">
      <c r="A4" s="11" t="inlineStr">
        <is>
          <t>Premissa / Resultado</t>
        </is>
      </c>
      <c r="B4" s="11" t="inlineStr">
        <is>
          <t>Ano 1</t>
        </is>
      </c>
      <c r="C4" s="11" t="inlineStr">
        <is>
          <t>Ano 2</t>
        </is>
      </c>
      <c r="D4" s="11" t="inlineStr">
        <is>
          <t>Ano 3</t>
        </is>
      </c>
    </row>
    <row r="5">
      <c r="A5" s="13" t="inlineStr">
        <is>
          <t>Escolas NOVAS no ano</t>
        </is>
      </c>
      <c r="B5" s="24" t="n">
        <v>8</v>
      </c>
      <c r="C5" s="24" t="n">
        <v>15</v>
      </c>
      <c r="D5" s="24" t="n">
        <v>25</v>
      </c>
    </row>
    <row r="6">
      <c r="A6" s="13" t="inlineStr">
        <is>
          <t>Escolas acumuladas</t>
        </is>
      </c>
      <c r="B6" s="15">
        <f>B5</f>
        <v/>
      </c>
      <c r="C6" s="15">
        <f>B6+C5</f>
        <v/>
      </c>
      <c r="D6" s="15">
        <f>C6+D5</f>
        <v/>
      </c>
    </row>
    <row r="7">
      <c r="A7" s="13" t="inlineStr">
        <is>
          <t>Alunos médios por escola</t>
        </is>
      </c>
      <c r="B7" s="24" t="n">
        <v>250</v>
      </c>
      <c r="C7" s="24" t="n">
        <v>250</v>
      </c>
      <c r="D7" s="24" t="n">
        <v>250</v>
      </c>
    </row>
    <row r="8">
      <c r="A8" s="13" t="inlineStr">
        <is>
          <t>Alunos totais</t>
        </is>
      </c>
      <c r="B8" s="15">
        <f>B6*B7</f>
        <v/>
      </c>
      <c r="C8" s="15">
        <f>C6*C7</f>
        <v/>
      </c>
      <c r="D8" s="15">
        <f>D6*D7</f>
        <v/>
      </c>
    </row>
    <row r="9">
      <c r="A9" s="13" t="inlineStr">
        <is>
          <t>Preço médio R$/aluno/mês</t>
        </is>
      </c>
      <c r="B9" s="22" t="n">
        <v>6</v>
      </c>
      <c r="C9" s="22" t="n">
        <v>6</v>
      </c>
      <c r="D9" s="22" t="n">
        <v>6</v>
      </c>
    </row>
    <row r="10">
      <c r="A10" s="13" t="inlineStr">
        <is>
          <t>MRR no fim do ano</t>
        </is>
      </c>
      <c r="B10" s="26">
        <f>B8*B9</f>
        <v/>
      </c>
      <c r="C10" s="26">
        <f>C8*C9</f>
        <v/>
      </c>
      <c r="D10" s="26">
        <f>D8*D9</f>
        <v/>
      </c>
    </row>
    <row r="11">
      <c r="A11" s="13" t="inlineStr">
        <is>
          <t>Receita recorrente no ano (MRRx12)</t>
        </is>
      </c>
      <c r="B11" s="26">
        <f>B10*12</f>
        <v/>
      </c>
      <c r="C11" s="26">
        <f>C10*12</f>
        <v/>
      </c>
      <c r="D11" s="26">
        <f>D10*12</f>
        <v/>
      </c>
    </row>
    <row r="12">
      <c r="A12" s="13" t="inlineStr">
        <is>
          <t>Ticket médio de implantação (único)</t>
        </is>
      </c>
      <c r="B12" s="28" t="n">
        <v>2500</v>
      </c>
      <c r="C12" s="28" t="n">
        <v>2500</v>
      </c>
      <c r="D12" s="28" t="n">
        <v>2500</v>
      </c>
    </row>
    <row r="13">
      <c r="A13" s="13" t="inlineStr">
        <is>
          <t>Receita de implantação no ano</t>
        </is>
      </c>
      <c r="B13" s="26">
        <f>B5*B12</f>
        <v/>
      </c>
      <c r="C13" s="26">
        <f>C5*C12</f>
        <v/>
      </c>
      <c r="D13" s="26">
        <f>D5*D12</f>
        <v/>
      </c>
    </row>
    <row r="14">
      <c r="A14" s="12" t="inlineStr">
        <is>
          <t>RECEITA TOTAL no ano</t>
        </is>
      </c>
      <c r="B14" s="29">
        <f>B11+B13</f>
        <v/>
      </c>
      <c r="C14" s="29">
        <f>C11+C13</f>
        <v/>
      </c>
      <c r="D14" s="29">
        <f>D11+D13</f>
        <v/>
      </c>
    </row>
    <row r="15">
      <c r="A15" s="13" t="inlineStr">
        <is>
          <t>Margem bruta %</t>
        </is>
      </c>
      <c r="B15" s="30" t="n">
        <v>0.75</v>
      </c>
      <c r="C15" s="30" t="n">
        <v>0.75</v>
      </c>
      <c r="D15" s="30" t="n">
        <v>0.75</v>
      </c>
    </row>
    <row r="16">
      <c r="A16" s="12" t="inlineStr">
        <is>
          <t>Lucro bruto no ano</t>
        </is>
      </c>
      <c r="B16" s="31">
        <f>B14*B15</f>
        <v/>
      </c>
      <c r="C16" s="31">
        <f>C14*C15</f>
        <v/>
      </c>
      <c r="D16" s="31">
        <f>D14*D15</f>
        <v/>
      </c>
    </row>
    <row r="18">
      <c r="A18" s="9" t="inlineStr">
        <is>
          <t>Observações</t>
        </is>
      </c>
    </row>
    <row r="19">
      <c r="A19" s="16" t="inlineStr">
        <is>
          <t>• Modelo simplificado: assume a recorrência do fim do ano aplicada aos 12 meses (otimista). Para conservador, use MRR médio.</t>
        </is>
      </c>
    </row>
    <row r="20">
      <c r="A20" s="16" t="inlineStr">
        <is>
          <t>• Margem alta porque o app é leve e a instância por escola tem custo marginal baixo; o maior custo é gente (implantação, suporte, conteúdo).</t>
        </is>
      </c>
    </row>
    <row r="21">
      <c r="A21" s="16" t="inlineStr">
        <is>
          <t>• Preço médio por aluno é o mix de privado (maior) e público (menor). Ajuste conforme sua meta de vendas.</t>
        </is>
      </c>
    </row>
  </sheetData>
  <mergeCells count="3">
    <mergeCell ref="A21:D21"/>
    <mergeCell ref="A20:D20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2026-08-02T18:04:55Z</dcterms:created>
  <dcterms:modified xsi:type="dcterms:W3CDTF">2026-08-02T18:04:55Z</dcterms:modified>
</cp:coreProperties>
</file>